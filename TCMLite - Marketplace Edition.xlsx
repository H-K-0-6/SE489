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napshot" sheetId="1" r:id="rId1"/>
    <sheet name="Trend" sheetId="2" r:id="rId2"/>
    <sheet name="About" sheetId="3" r:id="rId3"/>
    <sheet name="TA1.Bing.Main.Page" sheetId="4" r:id="rId4"/>
    <sheet name="TA2.Bing.Results.Page" sheetId="5" r:id="rId5"/>
    <sheet name="Marketplace Tests" sheetId="6" r:id="rId6"/>
  </sheets>
  <definedNames>
    <definedName name="Area3A">#REF!</definedName>
    <definedName name="Area3P">#REF!</definedName>
    <definedName name="Area3S">#REF!</definedName>
    <definedName name="AreaAM">#REF!</definedName>
    <definedName name="AreaAR">#REF!</definedName>
    <definedName name="AreaCH">#REF!</definedName>
    <definedName name="AreaCI">#REF!</definedName>
    <definedName name="AreaCP">#REF!</definedName>
    <definedName name="AreaCT">#REF!</definedName>
    <definedName name="AreaDR">#REF!</definedName>
    <definedName name="AreaDT">#REF!</definedName>
    <definedName name="AreaEO">#REF!</definedName>
    <definedName name="AreaER">#REF!</definedName>
    <definedName name="AreaEU">#REF!</definedName>
    <definedName name="AreaFC">#REF!</definedName>
    <definedName name="AreaID">#REF!</definedName>
    <definedName name="AreaMD">#REF!</definedName>
    <definedName name="AreaRP">#REF!</definedName>
    <definedName name="AreaSD">#REF!</definedName>
    <definedName name="AreaSI">#REF!</definedName>
    <definedName name="AreaST">#REF!</definedName>
    <definedName name="AreaUS">#REF!</definedName>
    <definedName name="AreaVR">#REF!</definedName>
    <definedName name="NoName">#REF!</definedName>
    <definedName name="NoName2">#REF!</definedName>
    <definedName name="SS1">#REF!$A$1</definedName>
    <definedName name="Unnamed">#REF!</definedName>
  </definedNames>
</workbook>
</file>

<file path=xl/comments1.xml><?xml version="1.0" encoding="utf-8"?>
<comments xmlns="http://schemas.openxmlformats.org/spreadsheetml/2006/main">
  <authors>
    <author>mp</author>
  </authors>
  <commentList>
    <comment ref="B8" authorId="0">
      <text>
        <t>Enter Company Information into the white cells below</t>
      </text>
    </comment>
    <comment ref="G8" authorId="0">
      <text>
        <t>Change staff type in the white cells below; leave the gray cells unchanged</t>
      </text>
    </comment>
    <comment ref="I8" authorId="0">
      <text>
        <t>Enter Test Cycle information for the given attribute into the white cells below</t>
      </text>
    </comment>
    <comment ref="B15" authorId="0">
      <text>
        <t>Enter Project Information in the white cells below</t>
      </text>
    </comment>
    <comment ref="A20" authorId="0">
      <text>
        <t xml:space="preserve">Do not change these values; the formulas will automatically populate the cells based on the corresponding worksheet tab names.  
Instead, change the worksheet tab names to represent your test areas.
Note: press F9 for XL to recalculate if this column's values are ever blank.</t>
      </text>
    </comment>
    <comment ref="C20" authorId="0">
      <text>
        <t>Enter the QA Tester responsible for the test area / worksheet</t>
      </text>
    </comment>
    <comment ref="D20" authorId="0">
      <text>
        <t>Total test case count for the test area / worksheet</t>
      </text>
    </comment>
    <comment ref="E20" authorId="0">
      <text>
        <t xml:space="preserve">Total "test time" for this test area \ worksheet.
Note that "test time" includes time to research, write, and execute the test case.  The first test cycle for a test case is large; subsequent test cycles will be much smaller because there will only be execution time.</t>
      </text>
    </comment>
    <comment ref="G20" authorId="0">
      <text>
        <t>Total test case counts for all worksheets by test result</t>
      </text>
    </comment>
    <comment ref="I20" authorId="0">
      <text>
        <t xml:space="preserve">Total "test time" for all worksheets by test result.
Note that "test time" includes time to research, write, and execute the test case.  The first test cycle for a test case is large; subsequent test cycles will be much smaller because there will only be execution time.</t>
      </text>
    </comment>
    <comment ref="J34" authorId="0">
      <text>
        <t xml:space="preserve">Total test case count for the test result status
</t>
      </text>
    </comment>
    <comment ref="K34" authorId="0">
      <text>
        <t>Percent of total test case count</t>
      </text>
    </comment>
    <comment ref="L34" authorId="0">
      <text>
        <t xml:space="preserve">Total "test time" for this test result status.
Note that "test time" includes time to research, write, and execute the test case.  The first test cycle for a test case is large; subsequent test cycles will be much smaller because there will only be execution time.</t>
      </text>
    </comment>
    <comment ref="G44" authorId="0">
      <text>
        <t xml:space="preserve">Not applicable test cases.  
These are not included in any of the counts above in tables or graphs.
These are either test steps without expected results, or unused test cases, or stubs (as come with the original template)</t>
      </text>
    </comment>
  </commentList>
</comments>
</file>

<file path=xl/comments2.xml><?xml version="1.0" encoding="utf-8"?>
<comments xmlns="http://schemas.openxmlformats.org/spreadsheetml/2006/main">
  <authors>
    <author>mp</author>
  </authors>
  <commentList>
    <comment ref="B31" authorId="0">
      <text>
        <t>Test Cycle Name, taken from the "Snapshot" worksheet's Test Cycle Information section at the end of every test cycle; you manually copy it here</t>
      </text>
    </comment>
    <comment ref="C31" authorId="0">
      <text>
        <t>Test Case Counts (total and failed) taken from the Test Results Table of worksheet "Snapshot" at the end of each test cycle; you manually copy the values here</t>
      </text>
    </comment>
    <comment ref="E31" authorId="0">
      <text>
        <t>Total Test Time for each test cycle; you manually copy the values from the "Snapshot" worksheet at the end of each test cycle</t>
      </text>
    </comment>
  </commentList>
</comments>
</file>

<file path=xl/comments4.xml><?xml version="1.0" encoding="utf-8"?>
<comments xmlns="http://schemas.openxmlformats.org/spreadsheetml/2006/main">
  <authors>
    <author>mp</author>
  </authors>
  <commentList>
    <comment ref="A1" authorId="0">
      <text>
        <t xml:space="preserve">Worksheet Title:
Do not change this title…it is automatically 
calculated from the worksheet tab name.
Change the tab name below to auto-
matically reset this cell's value.
_x0000__x0018__x0000_`_x0000__x000f__x0000__x000f__x0000__x0013__x0000__x0010__x0000__x000f__x0000__x0011__x0000__x0014__x0000_C_x0003__x000f__x0000_­_x0000__x0012__x0000__x000c__x0000__x000f__x0000_®_x0000_·_x0002__x0000_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text>
    </comment>
    <comment ref="E4" authorId="0">
      <text>
        <t xml:space="preserve">Execution Status Type:
Status type
</t>
      </text>
    </comment>
    <comment ref="F4" authorId="0">
      <text>
        <t xml:space="preserve">Test Case Count:
Count of test cases for given status type</t>
      </text>
    </comment>
    <comment ref="G4" authorId="0">
      <text>
        <t xml:space="preserve">% Count Test Cases:
Count of test cases for given status divided by total non-"n/a" test count</t>
      </text>
    </comment>
    <comment ref="H4" authorId="0">
      <text>
        <t xml:space="preserve">Test Case Time:
Time to research and execute test cases</t>
      </text>
    </comment>
    <comment ref="A12" authorId="0">
      <text>
        <t xml:space="preserve">
Test Case Number:
1. These values are calculated; do not type
    over.
2. Occasionally, using copy-paste to insert
    new rows will yield incorrect TC#'s
    because the cell references got shifted. 
    Fix this either by correcting the
    references, or copy-paste a different cell 
    with same formula from same column.</t>
      </text>
    </comment>
    <comment ref="B12" authorId="0">
      <text>
        <t xml:space="preserve">
Detailed Test Case Steps:
1. Type-over sample test steps
2. Use "alt-enter" to enter text on next line
    of same cell (that's how the sample data
    has step numbers listed)
3. Ensure that all test steps lead to a single
    expected result.  Insert new lines as 
    necessary to add additional expected 
    results, then merge the multiple row-cells
    of test steps into a single cell spanning
    all expected results.</t>
      </text>
    </comment>
    <comment ref="C12" authorId="0">
      <text>
        <t xml:space="preserve">
Test Case Expected Results:
1. Enter the expected results for the test 
    steps entered.
2. Be sure to separate each expected result
    on a separate line so that the status 
    applies to individual test results.
3. Suggest labeling each separate result with
    letters (A., B., C., etc.)</t>
      </text>
    </comment>
    <comment ref="D12" authorId="0">
      <text>
        <t xml:space="preserve">
Test Case Execution Result:
1. White background = Done (Pass, n/a, and Skip)  
2. Red background = Fail
3. Yellow background = Blocked
4. Light yellow background = Untested
Two ways to enter a status value:
A. Hover mousepointer and use the drop down
B. Key in P, F, S, B, U, or n/a
Note: Do not change the backcolor, it is automatically
         formatted based on the text in the cell.</t>
      </text>
    </comment>
    <comment ref="E12" authorId="0">
      <text>
        <t xml:space="preserve">
Date Test Case Executed:
1. Press ctrl-; to insert today's date
2. Copy and paste from above as you test</t>
      </text>
    </comment>
    <comment ref="F12" authorId="0">
      <text>
        <t xml:space="preserve">
Tester to Execute Test Case:
QA Tester who executed the test case
</t>
      </text>
    </comment>
    <comment ref="G12" authorId="0">
      <text>
        <t xml:space="preserve">
Test Case Time:
Total estimated research, write-up, and execution time this test cycle…update with actuals after you run the test_x0000_&amp;_x0000__x001a__x0000__x0011__x0000__x0002__x0000__x0018__x0000_Z_x0000__x000f__x0000__x0010__x0000__x0015__x0000__x0004__x0000__x000f__x0000__x0011__x0000__x0012__x0000_s_x0002__x000f__x0000__x0000__x0000__x0000_a_x0000_r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text>
    </comment>
    <comment ref="H12" authorId="0">
      <text>
        <t xml:space="preserve">
Test Case Comments:
1. Key in any comments that may clarify
    the test case
2. Optionally use this as a tracability matrix
    by adding text like "xref.Req.143.23"
3. Optionally add Roles or other helpful text</t>
      </text>
    </comment>
    <comment ref="J12" authorId="0">
      <text>
        <t xml:space="preserve">
Bookmarks:
1. Enter X's on rows that you want to
    quickly jump to such as Status = F or B
2. Highlight a cell in this Column, then 
    press ctrl-up or ctrl-down to quickly
    jump up and down through the list</t>
      </text>
    </comment>
  </commentList>
</comments>
</file>

<file path=xl/comments5.xml><?xml version="1.0" encoding="utf-8"?>
<comments xmlns="http://schemas.openxmlformats.org/spreadsheetml/2006/main">
  <authors>
    <author>mp</author>
  </authors>
  <commentList>
    <comment ref="A1" authorId="0">
      <text>
        <t xml:space="preserve">Worksheet Title:
Do not change this title…it is automatically 
calculated from the worksheet tab name.
Change the tab name below to auto-
matically reset this cell's value.
_x0000__x0018__x0000_`_x0000__x000f__x0000__x000f__x0000__x0013__x0000__x0010__x0000__x000f__x0000__x0011__x0000__x0014__x0000_C_x0003__x000f__x0000_­_x0000__x0012__x0000__x000c__x0000__x000f__x0000_®_x0000_·_x0002__x0000_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text>
    </comment>
    <comment ref="E4" authorId="0">
      <text>
        <t xml:space="preserve">Execution Status Type:
Status type
</t>
      </text>
    </comment>
    <comment ref="F4" authorId="0">
      <text>
        <t xml:space="preserve">Test Case Count:
Count of test cases for given status type</t>
      </text>
    </comment>
    <comment ref="G4" authorId="0">
      <text>
        <t xml:space="preserve">% Count Test Cases:
Count of test cases for given status divided by total non-"n/a" test count</t>
      </text>
    </comment>
    <comment ref="H4" authorId="0">
      <text>
        <t xml:space="preserve">Test Case Time:
Time to research and execute test cases</t>
      </text>
    </comment>
    <comment ref="A12" authorId="0">
      <text>
        <t xml:space="preserve">
Test Case Number:
1. These values are calculated; do not type
    over.
2. Occasionally, using copy-paste to insert
    new rows will yield incorrect TC#'s
    because the cell references got shifted. 
    Fix this either by correcting the
    references, or copy-paste a different cell 
    with same formula from same column.</t>
      </text>
    </comment>
    <comment ref="B12" authorId="0">
      <text>
        <t xml:space="preserve">
Detailed Test Case Steps:
1. Type-over sample test steps
2. Use "alt-enter" to enter text on next line
    of same cell (that's how the sample data
    has step numbers listed)
3. Ensure that all test steps lead to a single
    expected result.  Insert new lines as 
    necessary to add additional expected 
    results, then merge the multiple row-cells
    of test steps into a single cell spanning
    all expected results.</t>
      </text>
    </comment>
    <comment ref="C12" authorId="0">
      <text>
        <t xml:space="preserve">
Test Case Expected Results:
1. Enter the expected results for the test 
    steps entered.
2. Be sure to separate each expected result
    on a separate line so that the status 
    applies to individual test results.
3. Suggest labeling each separate result with
    letters (A., B., C., etc.)</t>
      </text>
    </comment>
    <comment ref="D12" authorId="0">
      <text>
        <t xml:space="preserve">
Test Case Execution Result:
1. White background = Done (Pass, n/a, and Skip)  
2. Red background = Fail
3. Yellow background = Blocked
4. Light yellow background = Untested
Two ways to enter a status value:
A. Hover mousepointer and use the drop down
B. Key in P, F, S, B, U, or n/a
Note: Do not change the backcolor, it is automatically
         formatted based on the text in the cell.</t>
      </text>
    </comment>
    <comment ref="E12" authorId="0">
      <text>
        <t xml:space="preserve">
Date Test Case Executed:
1. Press ctrl-; to insert today's date
2. Copy and paste from above as you test</t>
      </text>
    </comment>
    <comment ref="F12" authorId="0">
      <text>
        <t xml:space="preserve">
Tester to Execute Test Case:
QA Tester who executed the test case
</t>
      </text>
    </comment>
    <comment ref="G12" authorId="0">
      <text>
        <t xml:space="preserve">
Test Case Time:
Total estimated research, write-up, and execution time this test cycle…update with actuals after you run the test_x0000_&amp;_x0000__x001a__x0000__x0011__x0000__x0002__x0000__x0018__x0000_Z_x0000__x000f__x0000__x0010__x0000__x0015__x0000__x0004__x0000__x000f__x0000__x0011__x0000__x0012__x0000_s_x0002__x000f__x0000__x0000__x0000__x0000_a_x0000_r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text>
    </comment>
    <comment ref="H12" authorId="0">
      <text>
        <t xml:space="preserve">
Test Case Comments:
1. Key in any comments that may clarify
    the test case
2. Optionally use this as a tracability matrix
    by adding text like "xref.Req.143.23"
3. Optionally add Roles or other helpful text</t>
      </text>
    </comment>
    <comment ref="J12" authorId="0">
      <text>
        <t xml:space="preserve">
Bookmarks:
1. Enter X's on rows that you want to
    quickly jump to such as Status = F or B
2. Highlight a cell in this Column, then 
    press ctrl-up or ctrl-down to quickly
    jump up and down through the list</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7">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quot;Yes&quot;;&quot;Yes&quot;;&quot;No&quot;"/>
    <numFmt numFmtId="165" formatCode="&quot;True&quot;;&quot;True&quot;;&quot;False&quot;"/>
    <numFmt numFmtId="166" formatCode="&quot;On&quot;;&quot;On&quot;;&quot;Off&quot;"/>
    <numFmt numFmtId="167" formatCode="mmmm\ d\,\ yyyy"/>
    <numFmt numFmtId="168" formatCode="0.0%"/>
    <numFmt numFmtId="169" formatCode="[$€-2]\ #,##0.00_);[Red]\([$€-2]\ #,##0.00\)"/>
    <numFmt numFmtId="170" formatCode="mmm\-yyyy"/>
    <numFmt numFmtId="171" formatCode="[$-409]dddd\,\ mmmm\ dd\,\ yyyy"/>
    <numFmt numFmtId="172" formatCode="m/d/yy;@"/>
    <numFmt numFmtId="173" formatCode="mm/dd/yy;@"/>
    <numFmt numFmtId="174" formatCode="m/d;@"/>
    <numFmt numFmtId="175" formatCode="000\-00\-0000"/>
    <numFmt numFmtId="176" formatCode="[$-409]h:mm:ss\ AM/PM"/>
    <numFmt numFmtId="177" formatCode="0\ \m"/>
    <numFmt numFmtId="178" formatCode="0.0"/>
    <numFmt numFmtId="179" formatCode="0.000"/>
    <numFmt numFmtId="180" formatCode="0.0\ \h"/>
    <numFmt numFmtId="181" formatCode="0.0\ \H"/>
    <numFmt numFmtId="182" formatCode="0,000"/>
    <numFmt numFmtId="183" formatCode="0,###"/>
    <numFmt numFmtId="184" formatCode="#,##0\ \h"/>
    <numFmt numFmtId="185" formatCode="#,##0.0\ \h"/>
    <numFmt numFmtId="186" formatCode="#,##0.00\ \h"/>
    <numFmt numFmtId="187" formatCode="0.00\ \h"/>
    <numFmt numFmtId="188" formatCode="_(* #,##0.000_);_(* \(#,##0.000\);_(* &quot;-&quot;??_);_(@_)"/>
    <numFmt numFmtId="189" formatCode="_(* #,##0.0000_);_(* \(#,##0.0000\);_(* &quot;-&quot;??_);_(@_)"/>
    <numFmt numFmtId="190" formatCode="_(* #,##0.0_);_(* \(#,##0.0\);_(* &quot;-&quot;??_);_(@_)"/>
    <numFmt numFmtId="191" formatCode="_(* #,##0_);_(* \(#,##0\);_(* &quot;-&quot;??_);_(@_)"/>
    <numFmt numFmtId="192" formatCode="\ \w\k\s"/>
    <numFmt numFmtId="193" formatCode="\ \w\ks"/>
    <numFmt numFmtId="194" formatCode="#.0\ &quot;wks&quot;"/>
    <numFmt numFmtId="195" formatCode="0.0\ &quot;wks&quot;"/>
    <numFmt numFmtId="196" formatCode="0\ &quot;wks&quot;"/>
    <numFmt numFmtId="197" formatCode="0\ &quot;wk&quot;"/>
    <numFmt numFmtId="198" formatCode="#,##0;\(#,##0\);;"/>
    <numFmt numFmtId="199" formatCode="#,##0;\(#,##0\);&quot;&quot;;&quot;&quot;"/>
    <numFmt numFmtId="200" formatCode="#,##0;\-0;;@"/>
    <numFmt numFmtId="201" formatCode="0\ "/>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hyperlink" Target="mailto:tcmlite@wintestgear.com" TargetMode="External"/><Relationship Id="rId2" Type="http://schemas.openxmlformats.org/officeDocument/2006/relationships/hyperlink" Target="http://www.wintestgear.com/" TargetMode="Externa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dimension ref="A1:L48"/>
  <sheetViews>
    <sheetView workbookViewId="0" rightToLeft="0"/>
  </sheetViews>
  <sheetData>
    <row r="2">
      <c r="F2" t="str">
        <f>$I$9</f>
        <v>Sample Test Project</v>
      </c>
    </row>
    <row r="3">
      <c r="F3" t="str">
        <f xml:space="preserve"> "Project: " &amp; $B$16 &amp; "  " &amp; $B$17</f>
        <v>Project: 08-89753  Bing Search Engine Sample Tests</v>
      </c>
    </row>
    <row r="4" ht="4.5" customHeight="1"/>
    <row r="5">
      <c r="A5" t="str">
        <v>Current Test Cycle Snapshot</v>
      </c>
    </row>
    <row r="6" ht="9" customHeight="1"/>
    <row r="7" ht="16.5" customHeight="1">
      <c r="A7" t="str">
        <v>Company Information</v>
      </c>
      <c r="G7" t="str">
        <v>Test Cycle Information</v>
      </c>
    </row>
    <row r="8" ht="16.5" customHeight="1">
      <c r="A8" t="str">
        <v>Attribute</v>
      </c>
      <c r="B8" t="str">
        <v>Value</v>
      </c>
      <c r="G8" t="str">
        <v>Attribute</v>
      </c>
      <c r="I8" t="str">
        <v>Value</v>
      </c>
    </row>
    <row r="9" ht="16.5" customHeight="1">
      <c r="A9" t="str">
        <v>Company</v>
      </c>
      <c r="B9" t="str">
        <v>Otto's Testing Services</v>
      </c>
      <c r="G9" t="str">
        <v>Test Cycle Name</v>
      </c>
      <c r="I9" t="str">
        <v>Sample Test Project</v>
      </c>
    </row>
    <row r="10" ht="16.5" customHeight="1">
      <c r="A10" t="str">
        <v>Division / Dept</v>
      </c>
      <c r="B10" t="str">
        <v>Commercial Software Div.</v>
      </c>
      <c r="G10" t="str">
        <v>Test Cycle Type</v>
      </c>
      <c r="I10" t="str">
        <v>Regression</v>
      </c>
    </row>
    <row r="11" ht="16.5" customHeight="1">
      <c r="A11" t="str">
        <v>Street Address</v>
      </c>
      <c r="B11" t="str">
        <v>1234 NE 195th ST</v>
      </c>
      <c r="G11" t="str">
        <v>Release Date</v>
      </c>
      <c r="I11">
        <v>40225</v>
      </c>
    </row>
    <row r="12" ht="16.5" customHeight="1">
      <c r="A12" t="str">
        <v>City, State</v>
      </c>
      <c r="B12" t="str">
        <v>Redmond, WA</v>
      </c>
      <c r="G12" t="str">
        <v>Project Manager</v>
      </c>
      <c r="I12" t="str">
        <v>Penny Project, ext. 123</v>
      </c>
    </row>
    <row r="13" ht="16.5" customHeight="1">
      <c r="G13" t="str">
        <v>Business Analyst</v>
      </c>
      <c r="I13" t="str">
        <v>Berry BizAnalyst,  ext. 532</v>
      </c>
    </row>
    <row r="14" ht="16.5" customHeight="1">
      <c r="A14" t="str">
        <v>Project Information</v>
      </c>
      <c r="G14" t="str">
        <v>QA Tester</v>
      </c>
      <c r="I14" t="str">
        <v>Tony Test,  ext. 421</v>
      </c>
    </row>
    <row r="15" ht="16.5" customHeight="1">
      <c r="A15" t="str">
        <v>Attribute</v>
      </c>
      <c r="B15" t="str">
        <v>Value</v>
      </c>
      <c r="G15" t="str">
        <v>QA Tester</v>
      </c>
      <c r="I15" t="str">
        <v>Tina Testit,  ext. 674</v>
      </c>
    </row>
    <row r="16" ht="16.5" customHeight="1">
      <c r="A16" t="str">
        <v>Project Number</v>
      </c>
      <c r="B16" t="str">
        <v>08-89753</v>
      </c>
      <c r="G16" t="str">
        <v>QA Tester</v>
      </c>
      <c r="I16" t="str">
        <v>Theo Testly,  ext. 898</v>
      </c>
    </row>
    <row r="17" ht="16.5" customHeight="1">
      <c r="A17" t="str">
        <v>Project Name</v>
      </c>
      <c r="B17" t="str">
        <v>Bing Search Engine Sample Tests</v>
      </c>
      <c r="G17" t="str">
        <v>QA Tester</v>
      </c>
      <c r="I17" t="str">
        <v>n/a</v>
      </c>
    </row>
    <row r="18" ht="9" customHeight="1"/>
    <row r="19" ht="16.5" customHeight="1">
      <c r="A19" t="str">
        <v>Test Areas  (Worksheet /Tab Names)</v>
      </c>
      <c r="G19" t="str">
        <v>Test Results Graphs</v>
      </c>
    </row>
    <row r="20" ht="30" customHeight="1" xml:space="preserve">
      <c r="A20" t="str">
        <v>Test Area</v>
      </c>
      <c r="C20" t="str">
        <v>Who</v>
      </c>
      <c r="D20" t="str" xml:space="preserve">
        <v xml:space="preserve">TC
Count</v>
      </c>
      <c r="E20" t="str" xml:space="preserve">
        <v xml:space="preserve">Test
Time</v>
      </c>
      <c r="G20" t="str">
        <v>TC Count</v>
      </c>
      <c r="I20" t="str">
        <v>Test Time</v>
      </c>
    </row>
    <row r="21" ht="16.5" customHeight="1">
      <c r="A21" t="str">
        <f>MID(CELL("filename",'TA1.Bing.Main.Page'!$A$1),FIND("]",CELL("filename"),1)+1,255)</f>
        <v>TA1.Bing.Main.Page</v>
      </c>
      <c r="C21" t="str">
        <v>Terry</v>
      </c>
      <c r="D21">
        <f>IF('TA1.Bing.Main.Page'!$F$9 = 0,"", 'TA1.Bing.Main.Page'!$F$9)</f>
        <v>21</v>
      </c>
      <c r="E21">
        <f>IF('TA1.Bing.Main.Page'!$H$9 = 0,"", 'TA1.Bing.Main.Page'!$H$9)</f>
        <v>0.8</v>
      </c>
    </row>
    <row r="22" ht="16.5" customHeight="1">
      <c r="A22" t="str">
        <f>MID(CELL("filename",'TA2.Bing.Results.Page'!$A$1),FIND("]",CELL("filename"),1)+1,255)</f>
        <v>TA2.Bing.Results.Page</v>
      </c>
      <c r="C22" t="str">
        <v>Tony</v>
      </c>
      <c r="D22">
        <f>IF('TA2.Bing.Results.Page'!$F$9 = 0,"", 'TA2.Bing.Results.Page'!$F$9)</f>
        <v>5</v>
      </c>
      <c r="E22">
        <f>IF('TA2.Bing.Results.Page'!$H$9 = 0,"", 'TA2.Bing.Results.Page'!$H$9)</f>
        <v>0.5166666666666667</v>
      </c>
    </row>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c r="G33" t="str">
        <v>Test Results Table</v>
      </c>
    </row>
    <row r="34" ht="16.5" customHeight="1" xml:space="preserve">
      <c r="G34" t="str">
        <v>Test Result Status</v>
      </c>
      <c r="J34" t="str" xml:space="preserve">
        <v xml:space="preserve">TC
Count</v>
      </c>
      <c r="K34" t="str" xml:space="preserve">
        <v xml:space="preserve">%
Count</v>
      </c>
      <c r="L34" t="str" xml:space="preserve">
        <v xml:space="preserve">Test
Time</v>
      </c>
    </row>
    <row r="35" ht="16.5" customHeight="1"/>
    <row r="36" ht="16.5" customHeight="1">
      <c r="G36" t="str">
        <v>Untested</v>
      </c>
      <c r="J36">
        <f>'TA1.Bing.Main.Page'!F4+'TA2.Bing.Results.Page'!F4</f>
        <v>15</v>
      </c>
      <c r="K36">
        <f>J36/$J$42</f>
        <v>0.5769230769230769</v>
      </c>
      <c r="L36">
        <f>'TA1.Bing.Main.Page'!H4+'TA2.Bing.Results.Page'!H4</f>
        <v>0.4166666666666667</v>
      </c>
    </row>
    <row r="37" ht="16.5" customHeight="1">
      <c r="G37" t="str">
        <v>Passed</v>
      </c>
      <c r="J37">
        <f>'TA1.Bing.Main.Page'!F5+'TA2.Bing.Results.Page'!F5</f>
        <v>7</v>
      </c>
      <c r="K37">
        <f>J37/$J$42</f>
        <v>0.2692307692307692</v>
      </c>
      <c r="L37">
        <f>'TA1.Bing.Main.Page'!H5+'TA2.Bing.Results.Page'!H5</f>
        <v>0.6166666666666667</v>
      </c>
    </row>
    <row r="38" ht="16.5" customHeight="1">
      <c r="G38" t="str">
        <v>Failed</v>
      </c>
      <c r="J38">
        <f>'TA1.Bing.Main.Page'!F6+'TA2.Bing.Results.Page'!F6</f>
        <v>1</v>
      </c>
      <c r="K38">
        <f>J38/$J$42</f>
        <v>0.038461538461538464</v>
      </c>
      <c r="L38">
        <f>'TA1.Bing.Main.Page'!H6+'TA2.Bing.Results.Page'!H6</f>
        <v>0.016666666666666666</v>
      </c>
    </row>
    <row r="39" ht="16.5" customHeight="1">
      <c r="G39" t="str">
        <v>Skipped</v>
      </c>
      <c r="J39">
        <f>'TA1.Bing.Main.Page'!F7+'TA2.Bing.Results.Page'!F7</f>
        <v>1</v>
      </c>
      <c r="K39">
        <f>J39/$J$42</f>
        <v>0.038461538461538464</v>
      </c>
      <c r="L39">
        <f>'TA1.Bing.Main.Page'!H7+'TA2.Bing.Results.Page'!H7</f>
        <v>0.16666666666666666</v>
      </c>
    </row>
    <row r="40" ht="16.5" customHeight="1">
      <c r="G40" t="str">
        <v>Blocked</v>
      </c>
      <c r="J40">
        <f>'TA1.Bing.Main.Page'!F8+'TA2.Bing.Results.Page'!F8</f>
        <v>2</v>
      </c>
      <c r="K40">
        <f>J40/$J$42</f>
        <v>0.07692307692307693</v>
      </c>
      <c r="L40">
        <f>'TA1.Bing.Main.Page'!H8+'TA2.Bing.Results.Page'!H8</f>
        <v>0.1</v>
      </c>
    </row>
    <row r="41" ht="4.5" customHeight="1"/>
    <row r="42">
      <c r="A42" t="str">
        <v>Total</v>
      </c>
      <c r="D42">
        <f>SUM(D21:D40)</f>
        <v>26</v>
      </c>
      <c r="E42">
        <f>SUM(E21:E40)</f>
        <v>1.3166666666666669</v>
      </c>
      <c r="G42" t="str">
        <v>Total</v>
      </c>
      <c r="J42">
        <f>SUM(J36:J40)</f>
        <v>26</v>
      </c>
      <c r="K42">
        <f>J42/$J$42</f>
        <v>1</v>
      </c>
      <c r="L42">
        <f>SUM(L36:L40)</f>
        <v>1.3166666666666669</v>
      </c>
    </row>
    <row r="43" ht="4.5" customHeight="1"/>
    <row r="44">
      <c r="G44" t="str">
        <v>N/A</v>
      </c>
      <c r="J44">
        <f>'TA1.Bing.Main.Page'!F10+'TA2.Bing.Results.Page'!F10</f>
        <v>6</v>
      </c>
      <c r="L44">
        <f>'TA1.Bing.Main.Page'!H10+'TA2.Bing.Results.Page'!H10</f>
        <v>0.13333333333333333</v>
      </c>
    </row>
    <row r="45" ht="9" customHeight="1"/>
    <row r="46">
      <c r="L46" t="str">
        <v>XL Template by:</v>
      </c>
    </row>
  </sheetData>
  <mergeCells count="62">
    <mergeCell ref="B17:E17"/>
    <mergeCell ref="G39:I39"/>
    <mergeCell ref="G40:I40"/>
    <mergeCell ref="G42:I42"/>
    <mergeCell ref="G44:I44"/>
    <mergeCell ref="G38:I38"/>
    <mergeCell ref="G36:I36"/>
    <mergeCell ref="G37:I37"/>
    <mergeCell ref="A39:B39"/>
    <mergeCell ref="A40:B40"/>
    <mergeCell ref="J34:J35"/>
    <mergeCell ref="L34:L35"/>
    <mergeCell ref="K34:K35"/>
    <mergeCell ref="G34:I35"/>
    <mergeCell ref="G20:H20"/>
    <mergeCell ref="I20:L20"/>
    <mergeCell ref="G11:H11"/>
    <mergeCell ref="G15:H15"/>
    <mergeCell ref="G16:H16"/>
    <mergeCell ref="G17:H17"/>
    <mergeCell ref="I13:L13"/>
    <mergeCell ref="I14:L14"/>
    <mergeCell ref="G12:H12"/>
    <mergeCell ref="G13:H13"/>
    <mergeCell ref="G14:H14"/>
    <mergeCell ref="A37:B37"/>
    <mergeCell ref="A27:B27"/>
    <mergeCell ref="A28:B28"/>
    <mergeCell ref="A29:B29"/>
    <mergeCell ref="A30:B30"/>
    <mergeCell ref="A31:B31"/>
    <mergeCell ref="A32:B32"/>
    <mergeCell ref="G9:H9"/>
    <mergeCell ref="A33:B33"/>
    <mergeCell ref="A34:B34"/>
    <mergeCell ref="A25:B25"/>
    <mergeCell ref="A26:B26"/>
    <mergeCell ref="A38:B38"/>
    <mergeCell ref="A21:B21"/>
    <mergeCell ref="A23:B23"/>
    <mergeCell ref="A24:B24"/>
    <mergeCell ref="A22:B22"/>
    <mergeCell ref="B11:E11"/>
    <mergeCell ref="A35:B35"/>
    <mergeCell ref="A36:B36"/>
    <mergeCell ref="B8:E8"/>
    <mergeCell ref="I8:L8"/>
    <mergeCell ref="I9:L9"/>
    <mergeCell ref="I10:L10"/>
    <mergeCell ref="B9:E9"/>
    <mergeCell ref="B10:E10"/>
    <mergeCell ref="G8:H8"/>
    <mergeCell ref="B12:E12"/>
    <mergeCell ref="G10:H10"/>
    <mergeCell ref="I16:L16"/>
    <mergeCell ref="A20:B20"/>
    <mergeCell ref="I11:L11"/>
    <mergeCell ref="I12:L12"/>
    <mergeCell ref="I17:L17"/>
    <mergeCell ref="I15:L15"/>
    <mergeCell ref="B15:E15"/>
    <mergeCell ref="B16:E16"/>
  </mergeCells>
  <pageMargins left="0.75" right="0.75" top="1" bottom="1" header="0.5" footer="0.5"/>
  <ignoredErrors>
    <ignoredError numberStoredAsText="1" sqref="A1:L48"/>
  </ignoredErrors>
  <legacyDrawing r:id="rId1"/>
</worksheet>
</file>

<file path=xl/worksheets/sheet2.xml><?xml version="1.0" encoding="utf-8"?>
<worksheet xmlns="http://schemas.openxmlformats.org/spreadsheetml/2006/main" xmlns:r="http://schemas.openxmlformats.org/officeDocument/2006/relationships">
  <dimension ref="A1:L47"/>
  <sheetViews>
    <sheetView workbookViewId="0" rightToLeft="0"/>
  </sheetViews>
  <sheetData>
    <row r="1" ht="15.75" customHeight="1"/>
    <row r="2">
      <c r="F2" t="str">
        <f>Snapshot!$I$9</f>
        <v>Sample Test Project</v>
      </c>
    </row>
    <row r="3">
      <c r="F3" t="str">
        <f xml:space="preserve"> "Project: " &amp; Snapshot!$B$16 &amp; "  " &amp; Snapshot!$B$17</f>
        <v>Project: 08-89753  Bing Search Engine Sample Tests</v>
      </c>
    </row>
    <row r="4" ht="4.5" customHeight="1"/>
    <row r="5">
      <c r="A5" t="str">
        <v>Past Test Cycles Trend</v>
      </c>
    </row>
    <row r="7" ht="16.5" customHeight="1"/>
    <row r="17" ht="5.25" customHeight="1"/>
    <row r="28" ht="3" customHeight="1"/>
    <row r="29" ht="6" customHeight="1"/>
    <row r="30" ht="16.5" customHeight="1">
      <c r="A30" t="str">
        <v>Test Cycle Test Results</v>
      </c>
    </row>
    <row r="31" ht="28.5" customHeight="1" xml:space="preserve">
      <c r="A31" t="str">
        <v>#</v>
      </c>
      <c r="B31" t="str" xml:space="preserve">
        <v xml:space="preserve">Test Cycle
Name</v>
      </c>
      <c r="C31" t="str">
        <v>Test Case Counts</v>
      </c>
      <c r="E31" t="str" xml:space="preserve">
        <v xml:space="preserve">Total
Test  Time</v>
      </c>
    </row>
    <row r="32">
      <c r="C32" t="str">
        <v>Total</v>
      </c>
      <c r="D32" t="str">
        <v>Failed</v>
      </c>
    </row>
    <row r="33" ht="16.5" customHeight="1">
      <c r="A33">
        <v>1</v>
      </c>
      <c r="B33" t="str">
        <v>Beta 1.00 Release</v>
      </c>
      <c r="C33">
        <v>109</v>
      </c>
      <c r="D33">
        <v>15</v>
      </c>
      <c r="E33">
        <v>40.4</v>
      </c>
    </row>
    <row r="34" ht="16.5" customHeight="1">
      <c r="A34">
        <f>A33+1</f>
        <v>2</v>
      </c>
      <c r="B34" t="str">
        <v>RTM 1.00 Release</v>
      </c>
      <c r="C34">
        <v>356</v>
      </c>
      <c r="D34">
        <v>24</v>
      </c>
      <c r="E34">
        <v>111.3</v>
      </c>
    </row>
    <row r="35" ht="16.5" customHeight="1">
      <c r="A35">
        <f>A34+1</f>
        <v>3</v>
      </c>
      <c r="B35" t="str">
        <v>RTM 1.01 Release</v>
      </c>
      <c r="C35">
        <v>379</v>
      </c>
      <c r="D35">
        <v>16</v>
      </c>
      <c r="E35">
        <v>90.8</v>
      </c>
    </row>
    <row r="36" ht="16.5" customHeight="1">
      <c r="A36">
        <f>A35+1</f>
        <v>4</v>
      </c>
      <c r="B36" t="str">
        <v>RTM 1.02 Release</v>
      </c>
      <c r="C36">
        <v>412</v>
      </c>
      <c r="D36">
        <v>14</v>
      </c>
      <c r="E36">
        <v>92.3</v>
      </c>
    </row>
    <row r="37" ht="16.5" customHeight="1">
      <c r="A37">
        <f>A36+1</f>
        <v>5</v>
      </c>
      <c r="B37" t="str">
        <v>RTM 1.03 Release</v>
      </c>
      <c r="C37">
        <v>439</v>
      </c>
      <c r="D37">
        <v>13</v>
      </c>
      <c r="E37">
        <v>75.8</v>
      </c>
    </row>
    <row r="38" ht="16.5" customHeight="1">
      <c r="A38">
        <f>A37+1</f>
        <v>6</v>
      </c>
      <c r="B38" t="str">
        <v>RTM 1.10 Release</v>
      </c>
      <c r="C38">
        <v>504</v>
      </c>
      <c r="D38">
        <v>12</v>
      </c>
      <c r="E38">
        <v>85.4</v>
      </c>
    </row>
    <row r="39" ht="16.5" customHeight="1">
      <c r="A39">
        <f>A38+1</f>
        <v>7</v>
      </c>
      <c r="B39" t="str">
        <v>RTM 1.11 Release</v>
      </c>
      <c r="C39">
        <v>514</v>
      </c>
      <c r="D39">
        <v>4</v>
      </c>
      <c r="E39">
        <v>76.4</v>
      </c>
    </row>
    <row r="40" ht="16.5" customHeight="1">
      <c r="A40">
        <f>A39+1</f>
        <v>8</v>
      </c>
      <c r="B40" t="str">
        <v>Beta 2.00 Release</v>
      </c>
      <c r="C40">
        <v>519</v>
      </c>
      <c r="D40">
        <v>4</v>
      </c>
      <c r="E40">
        <v>65.2</v>
      </c>
    </row>
    <row r="41" ht="16.5" customHeight="1">
      <c r="A41">
        <f>A40+1</f>
        <v>9</v>
      </c>
      <c r="B41" t="str">
        <v>RTM 2.00 Release</v>
      </c>
      <c r="C41">
        <v>543</v>
      </c>
      <c r="D41">
        <v>3</v>
      </c>
      <c r="E41">
        <v>66.4</v>
      </c>
    </row>
    <row r="42" ht="16.5" customHeight="1">
      <c r="A42">
        <f>A41+1</f>
        <v>10</v>
      </c>
      <c r="B42" t="str">
        <v>RTM 2.01 Release</v>
      </c>
      <c r="C42">
        <v>552</v>
      </c>
      <c r="D42">
        <v>2</v>
      </c>
      <c r="E42">
        <v>61.8</v>
      </c>
    </row>
    <row r="44">
      <c r="L44" t="str">
        <v>XL Template by:</v>
      </c>
    </row>
    <row r="46" ht="15" customHeight="1"/>
    <row r="47" ht="6" customHeight="1"/>
  </sheetData>
  <mergeCells count="5">
    <mergeCell ref="B31:B32"/>
    <mergeCell ref="I31:L31"/>
    <mergeCell ref="A31:A32"/>
    <mergeCell ref="C31:D31"/>
    <mergeCell ref="E31:E32"/>
  </mergeCells>
  <pageMargins left="0.75" right="0.75" top="1" bottom="1" header="0.5" footer="0.5"/>
  <ignoredErrors>
    <ignoredError numberStoredAsText="1" sqref="A1:L47"/>
  </ignoredErrors>
  <legacyDrawing r:id="rId1"/>
</worksheet>
</file>

<file path=xl/worksheets/sheet3.xml><?xml version="1.0" encoding="utf-8"?>
<worksheet xmlns="http://schemas.openxmlformats.org/spreadsheetml/2006/main" xmlns:r="http://schemas.openxmlformats.org/officeDocument/2006/relationships">
  <dimension ref="A1:R25"/>
  <sheetViews>
    <sheetView workbookViewId="0" rightToLeft="0"/>
  </sheetViews>
  <sheetData>
    <row r="1" ht="16.5" customHeight="1"/>
    <row r="2" ht="16.5" customHeight="1"/>
    <row r="3" ht="11.25" customHeight="1"/>
    <row r="4" ht="2.25" customHeight="1"/>
    <row r="6">
      <c r="C6" t="str">
        <v>WinTestGear - TCM Lite</v>
      </c>
    </row>
    <row r="7" ht="2.25" customHeight="1"/>
    <row r="8">
      <c r="C8" t="str">
        <v>Version 1.0.1</v>
      </c>
    </row>
    <row r="9" ht="2.25" customHeight="1"/>
    <row r="10">
      <c r="C10" t="str">
        <v>Copyright © 2010</v>
      </c>
    </row>
    <row r="11" ht="16.5" customHeight="1"/>
    <row r="12" ht="3" customHeight="1"/>
    <row r="13">
      <c r="C13" t="str">
        <v>"TCM Lite" is a freeware product; free to use and free to distribute!</v>
      </c>
    </row>
    <row r="14" ht="3" customHeight="1"/>
    <row r="15" ht="16.5" customHeight="1"/>
    <row r="16" ht="16.5" customHeight="1">
      <c r="C16" t="str">
        <v xml:space="preserve">Please forward bugs or product enhancement suggestions to: </v>
      </c>
    </row>
    <row r="17" ht="14.25" customHeight="1">
      <c r="C17" t="str">
        <v>mailto:tcmlite@wintestgear.com</v>
      </c>
    </row>
    <row r="18" ht="14.25" customHeight="1">
      <c r="C18" t="str">
        <v>http://www.wintestgear.com</v>
      </c>
    </row>
    <row r="19" ht="14.25" customHeight="1"/>
    <row r="20" ht="16.5" customHeight="1"/>
    <row r="21">
      <c r="C21" t="str">
        <v>Legal Disclaimer</v>
      </c>
    </row>
    <row r="22" ht="116.25" customHeight="1">
      <c r="C22" t="str">
        <v>THE SOFTWARE IS PROVIDED AS IS WITHOUT WARRANTY OF ANY KIND WHETHER EXPRESSED OR IMPLIED. TO THE MAXIMUM EXTENT PERMITTED BY APPLICABLE LAW, WINTESTGEAR FURTHER DISCLAIMS ALL WARRANTIES, INCLUDING WITHOUT LIMITATION ANY IMPLIED WARRANTIES OF MERCHANTABILITY, FITNESS FOR A PARTICULAR PURPOSE, AND NONINFRINGEMENT. THE ENTIRE RISK ARISING OUT OF THE USE OR PERFORMANCE OF THE PRODUCT AND DOCUMENTATION REMAINS WITH RECIPIENT. TO THE MAXIMUM EXTENT PERMITTED BY APPLICABLE LAW, IN NO EVENT SHALL WINTESTGEAR BE LIABLE FOR ANY CONSEQUENTIAL, INCIDENTAL, DIRECT, INDIRECT, SPECIAL, PUNITIVE, OR OTHER DAMAGES WHATSOEVER (INCLUDING, WITHOUT LIMITATION, DAMAGES FOR LOSS OF BUSINESS PROFITS, BUSINESS INTERRUPTION, LOSS OF BUSINESS INFORMATION, OR OTHER PECUNIARY LOSS) ARISING OUT OF THIS AGREEMENT OR THE USE OF OR INABILITY TO USE THE PRODUCT, EVEN IF WINTESTGEAR HAS BEEN ADVISED OF THE POSSIBILITY OF SUCH DAMAGES.</v>
      </c>
    </row>
    <row r="23" ht="34.5" customHeight="1">
      <c r="C23" t="str">
        <v>In no event shall the author be held liable for any damages whatsoever, including without limitation, damages for loss of business profits, business interruption, loss of business information, or any other loss arising from the use or inability to use the software.</v>
      </c>
    </row>
    <row r="24" ht="8.25" customHeight="1"/>
    <row r="25" ht="2.25" customHeight="1"/>
  </sheetData>
  <mergeCells count="4">
    <mergeCell ref="C13:Q13"/>
    <mergeCell ref="C21:Q21"/>
    <mergeCell ref="C23:Q23"/>
    <mergeCell ref="C22:Q22"/>
  </mergeCells>
  <hyperlinks>
    <hyperlink ref="C17" r:id="rId1" tooltip="mailto:tcmlite@wintestgear.com"/>
    <hyperlink ref="C18" r:id="rId2" tooltip="http://www.wintestgear.com"/>
  </hyperlinks>
  <pageMargins left="0.5" right="0.5" top="0.5" bottom="0.5" header="0.5" footer="0.5"/>
  <ignoredErrors>
    <ignoredError numberStoredAsText="1" sqref="A1:R25"/>
  </ignoredErrors>
</worksheet>
</file>

<file path=xl/worksheets/sheet4.xml><?xml version="1.0" encoding="utf-8"?>
<worksheet xmlns="http://schemas.openxmlformats.org/spreadsheetml/2006/main" xmlns:r="http://schemas.openxmlformats.org/officeDocument/2006/relationships">
  <dimension ref="A1:J51"/>
  <sheetViews>
    <sheetView workbookViewId="0" rightToLeft="0"/>
  </sheetViews>
  <sheetData>
    <row r="1">
      <c r="A1" t="str">
        <f>MID(CELL("filename",A7),FIND("]",CELL("filename"),1)+1,255)</f>
        <v>TA1.Bing.Main.Page</v>
      </c>
    </row>
    <row r="2" ht="3.75" customHeight="1"/>
    <row r="3">
      <c r="E3" t="str">
        <v>Test Case Results</v>
      </c>
    </row>
    <row r="4">
      <c r="E4" t="str">
        <v>Untested</v>
      </c>
      <c r="F4">
        <f>COUNTIF($D$12:$D$41,"U")</f>
        <v>14</v>
      </c>
      <c r="G4">
        <f>IF($F$9=0, "-", $F4/$F$9)</f>
        <v>0.6666666666666666</v>
      </c>
      <c r="H4">
        <f>SUMIF($D$12:$D$40,"U", $G$12:$G$40) / 60</f>
        <v>0.4</v>
      </c>
    </row>
    <row r="5">
      <c r="E5" t="str">
        <v>Passed</v>
      </c>
      <c r="F5">
        <f>COUNTIF($D$12:$D$41,"P")</f>
        <v>3</v>
      </c>
      <c r="G5">
        <f>IF($F$9=0, "-", $F5/$F$9)</f>
        <v>0.14285714285714285</v>
      </c>
      <c r="H5">
        <f>SUMIF($D$12:$D$41,"P", $G$12:$G$41) / 60</f>
        <v>0.11666666666666667</v>
      </c>
    </row>
    <row r="6">
      <c r="E6" t="str">
        <v>Failed</v>
      </c>
      <c r="F6">
        <f>COUNTIF($D$12:$D$41,"F")</f>
        <v>1</v>
      </c>
      <c r="G6">
        <f>IF($F$9=0, "-", $F6/$F$9)</f>
        <v>0.047619047619047616</v>
      </c>
      <c r="H6">
        <f>SUMIF($D$12:$D$41,"F", $G$12:$G$41) / 60</f>
        <v>0.016666666666666666</v>
      </c>
    </row>
    <row r="7">
      <c r="E7" t="str">
        <v>Skipped</v>
      </c>
      <c r="F7">
        <f>COUNTIF($D$12:$D$41,"S")</f>
        <v>1</v>
      </c>
      <c r="G7">
        <f>IF($F$9=0, "-", $F7/$F$9)</f>
        <v>0.047619047619047616</v>
      </c>
      <c r="H7">
        <f>SUMIF($D$12:$D$41,"S", $G$12:$G$41) / 60</f>
        <v>0.16666666666666666</v>
      </c>
    </row>
    <row r="8">
      <c r="E8" t="str">
        <v>Blocked</v>
      </c>
      <c r="F8">
        <f>COUNTIF($D$12:$D$41,"B")</f>
        <v>2</v>
      </c>
      <c r="G8">
        <f>IF($F$9=0, "-", $F8/$F$9)</f>
        <v>0.09523809523809523</v>
      </c>
      <c r="H8">
        <f>SUMIF($D$12:$D$41,"B", $G$12:$G$41) / 60</f>
        <v>0.1</v>
      </c>
    </row>
    <row r="9">
      <c r="E9" t="str">
        <v>Total</v>
      </c>
      <c r="F9">
        <f>SUM(F4:F8)</f>
        <v>21</v>
      </c>
      <c r="G9">
        <f>IF($F$9=0,"-",$F$9/$F$9)</f>
        <v>1</v>
      </c>
      <c r="H9">
        <f>SUM(H4:H8)</f>
        <v>0.8</v>
      </c>
    </row>
    <row r="10">
      <c r="E10" t="str">
        <v>N/A</v>
      </c>
      <c r="F10">
        <f>COUNTIF($D$12:$D$41,"N/A")</f>
        <v>4</v>
      </c>
      <c r="H10">
        <f>SUMIF($D$12:$D$41,"n/a", $G$12:$G$41) / 60</f>
        <v>0.13333333333333333</v>
      </c>
    </row>
    <row r="11" ht="4.5" customHeight="1"/>
    <row r="12" ht="29.25" customHeight="1" xml:space="preserve">
      <c r="A12" t="str">
        <v>TC#</v>
      </c>
      <c r="B12" t="str" xml:space="preserve">
        <v xml:space="preserve">
Test Execution Steps</v>
      </c>
      <c r="C12" t="str" xml:space="preserve">
        <v xml:space="preserve">
Expected Result</v>
      </c>
      <c r="D12" t="str" xml:space="preserve">
        <v xml:space="preserve">Test
Result</v>
      </c>
      <c r="E12" t="str">
        <v>Date Tested</v>
      </c>
      <c r="F12" t="str" xml:space="preserve">
        <v xml:space="preserve">
Tester</v>
      </c>
      <c r="G12" t="str" xml:space="preserve">
        <v xml:space="preserve">TC
Time</v>
      </c>
      <c r="H12" t="str" xml:space="preserve">
        <v xml:space="preserve">Comment /
(or Requirement xref)</v>
      </c>
    </row>
    <row r="13">
      <c r="A13" t="str">
        <v>User Story 1 - User lands on fully functional, fully visible main entry page in less than 3 seconds</v>
      </c>
    </row>
    <row r="14" ht="25.5" customHeight="1" xml:space="preserve">
      <c r="A14">
        <f>MAX(A$12:A12)+1</f>
        <v>1</v>
      </c>
      <c r="B14" t="str" xml:space="preserve">
        <v xml:space="preserve">1. Open browser
2. http://www.bing.com/</v>
      </c>
      <c r="C14" t="str">
        <v>A. Page pops up without error</v>
      </c>
      <c r="D14" t="str">
        <v>P</v>
      </c>
      <c r="E14">
        <v>40198</v>
      </c>
      <c r="F14" t="str">
        <v>mpierce</v>
      </c>
      <c r="G14">
        <v>1</v>
      </c>
    </row>
    <row r="15">
      <c r="A15">
        <f>MAX(A$12:A14)+1</f>
        <v>2</v>
      </c>
      <c r="C15" t="str">
        <v>B. Page pops up in less than 3 seconds</v>
      </c>
      <c r="D15" t="str">
        <v>P</v>
      </c>
      <c r="E15">
        <v>40198</v>
      </c>
      <c r="F15" t="str">
        <v>mpierce</v>
      </c>
      <c r="G15">
        <v>1</v>
      </c>
    </row>
    <row r="16" xml:space="preserve">
      <c r="A16">
        <f>MAX(A$12:A15)+1</f>
        <v>3</v>
      </c>
      <c r="B16" t="str" xml:space="preserve">
        <v xml:space="preserve">3. Set Windows Display Settings to standard laptop 1280 x 800 pixels
4. Do another step
5. Verify separate expected results to the right</v>
      </c>
      <c r="C16" t="str">
        <v>A. Entire Bing main page fits on screen</v>
      </c>
      <c r="D16" t="str">
        <v>F</v>
      </c>
      <c r="E16">
        <v>40198</v>
      </c>
      <c r="F16" t="str">
        <v>mpierce</v>
      </c>
      <c r="G16">
        <v>1</v>
      </c>
      <c r="H16" t="str">
        <v>Bottom menu is truncated off screen</v>
      </c>
      <c r="I16" t="str">
        <v>Bottom menu is truncated off screen</v>
      </c>
      <c r="J16" t="str">
        <v>X</v>
      </c>
    </row>
    <row r="17">
      <c r="A17">
        <f>MAX(A$12:A16)+1</f>
        <v>4</v>
      </c>
      <c r="C17" t="str">
        <v>B. Stet clita kasd gubergren, no sea takimata sanctus est Lorem ipsum dolor sit amet.</v>
      </c>
      <c r="D17" t="str">
        <v>P</v>
      </c>
      <c r="E17">
        <v>40198</v>
      </c>
      <c r="F17" t="str">
        <v>mpierce</v>
      </c>
      <c r="G17">
        <v>5</v>
      </c>
    </row>
    <row r="18">
      <c r="A18">
        <f>MAX(A$12:A17)+1</f>
        <v>5</v>
      </c>
      <c r="C18" t="str">
        <v xml:space="preserve">C. Vel illum dolore eu feugiat nulla facilisis at vero eros et accumsan et iusto odio </v>
      </c>
      <c r="D18" t="str">
        <v>S</v>
      </c>
      <c r="E18">
        <v>40198</v>
      </c>
      <c r="F18" t="str">
        <v>mpierce</v>
      </c>
      <c r="G18">
        <v>10</v>
      </c>
      <c r="H18" t="str">
        <v>Skipped because no longer applicable</v>
      </c>
      <c r="I18" t="str">
        <v>Skipped because no longer applicable</v>
      </c>
    </row>
    <row r="19" xml:space="preserve">
      <c r="A19">
        <f>MAX(A$12:A18)+1</f>
        <v>6</v>
      </c>
      <c r="B19" t="str" xml:space="preserve">
        <v xml:space="preserve">1. Vel illum dolore eu feugiat 
2. Nulla facilisis at vero eros et accumsan et iusto odio </v>
      </c>
      <c r="C19" t="str">
        <v>A. Duis autem vel eum iriure dolor in hendrerit in vulputate velit esse molestie consequat</v>
      </c>
      <c r="D19" t="str">
        <v>B</v>
      </c>
      <c r="E19">
        <v>40198</v>
      </c>
      <c r="F19" t="str">
        <v>mpierce</v>
      </c>
      <c r="G19">
        <v>3</v>
      </c>
      <c r="H19" t="str">
        <v>Can't test until Dev implements features X and Y</v>
      </c>
      <c r="I19" t="str">
        <v>Can't test until Dev implements features X and Y</v>
      </c>
      <c r="J19" t="str">
        <v>X</v>
      </c>
    </row>
    <row r="20">
      <c r="A20">
        <f>MAX(A$12:A19)+1</f>
        <v>7</v>
      </c>
      <c r="C20" t="str">
        <v xml:space="preserve">B. Lorem ipsum dolor sit amet, consetetur sadipscing elitr, sed diam nonumy eirmod tempor invidunt ut </v>
      </c>
      <c r="D20" t="str">
        <v>n/a</v>
      </c>
      <c r="G20">
        <v>8</v>
      </c>
      <c r="H20" t="str">
        <v>No longer applicable</v>
      </c>
      <c r="I20" t="str">
        <v>No longer applicable</v>
      </c>
    </row>
    <row r="21" ht="63.75" customHeight="1" xml:space="preserve">
      <c r="A21">
        <f>MAX(A$12:A20)+1</f>
        <v>8</v>
      </c>
      <c r="B21" t="str" xml:space="preserve">
        <v xml:space="preserve">1. Lorem ipsum dolor sit amet, consetetur sadipscing elitr
2. sed diam nonumy eirmod tempor invidunt ut 
3. Hewj wkkw qieie rwer ewewe</v>
      </c>
      <c r="C21" t="str">
        <v>A. Duis autem vel eum iriure dolor in hendrerit in vulputate velit esse molestie consequat</v>
      </c>
      <c r="D21" t="str">
        <v>U</v>
      </c>
      <c r="G21">
        <v>1</v>
      </c>
    </row>
    <row r="22">
      <c r="A22">
        <f>MAX(A$12:A21)+1</f>
        <v>9</v>
      </c>
      <c r="C22" t="str">
        <v>B. Duis autem vel eum iriure dolor in hendrerit in vulputate velit esse molestie consequat</v>
      </c>
      <c r="D22" t="str">
        <v>B</v>
      </c>
      <c r="G22">
        <v>3</v>
      </c>
    </row>
    <row r="23">
      <c r="A23">
        <f>MAX(A$12:A22)+1</f>
        <v>10</v>
      </c>
      <c r="C23" t="str">
        <v xml:space="preserve">C. Lorem ipsum dolor sit amet, consetetur sadipscing elitr, sed diam nonumy eirmod tempor invidunt ut </v>
      </c>
      <c r="D23" t="str">
        <v>U</v>
      </c>
      <c r="G23">
        <v>2</v>
      </c>
    </row>
    <row r="24">
      <c r="A24">
        <f>MAX(A$12:A23)+1</f>
        <v>11</v>
      </c>
      <c r="C24" t="str">
        <v>D. Duis autem vel eum iriure dolor in hendrerit in vulputate velit esse molestie consequat</v>
      </c>
      <c r="D24" t="str">
        <v>U</v>
      </c>
      <c r="G24">
        <v>0</v>
      </c>
    </row>
    <row r="25">
      <c r="A25" t="str">
        <v>User Story 2 - Blah, blah, blah</v>
      </c>
    </row>
    <row r="26">
      <c r="A26">
        <f>MAX(A$12:A24)+1</f>
        <v>12</v>
      </c>
      <c r="B26" t="str">
        <v xml:space="preserve">Lorem ipsum dolor sit amet, consetetur sadipscing elitr, sed diam nonumy eirmod tempor invidunt ut </v>
      </c>
      <c r="C26" t="str">
        <v xml:space="preserve">Vel illum dolore eu feugiat nulla facilisis at vero eros et accumsan et iusto odio </v>
      </c>
      <c r="D26" t="str">
        <v>U</v>
      </c>
      <c r="G26">
        <v>1</v>
      </c>
    </row>
    <row r="27">
      <c r="A27">
        <f>MAX(A$12:A26)+1</f>
        <v>13</v>
      </c>
      <c r="B27" t="str">
        <v>Stet clita kasd gubergren, no sea takimata sanctus est Lorem ipsum dolor sit amet.</v>
      </c>
      <c r="C27" t="str">
        <v>Stet clita kasd gubergren, no sea takimata sanctus est Lorem ipsum dolor sit amet.</v>
      </c>
      <c r="D27" t="str">
        <v>U</v>
      </c>
      <c r="G27">
        <v>1</v>
      </c>
    </row>
    <row r="28">
      <c r="A28">
        <f>MAX(A$12:A27)+1</f>
        <v>14</v>
      </c>
      <c r="B28" t="str">
        <v>Duis autem vel eum iriure dolor in hendrerit in vulputate velit esse molestie consequat</v>
      </c>
      <c r="C28" t="str">
        <v>Duis autem vel eum iriure dolor in hendrerit in vulputate velit esse molestie consequat</v>
      </c>
      <c r="D28" t="str">
        <v>U</v>
      </c>
      <c r="G28">
        <v>1</v>
      </c>
    </row>
    <row r="29">
      <c r="A29">
        <f>MAX(A$12:A28)+1</f>
        <v>15</v>
      </c>
      <c r="B29" t="str">
        <v xml:space="preserve">Lorem ipsum dolor sit amet, consetetur sadipscing elitr, sed diam nonumy eirmod tempor invidunt ut </v>
      </c>
      <c r="C29" t="str">
        <v>Stet clita kasd gubergren, no sea takimata sanctus est Lorem ipsum dolor sit amet.</v>
      </c>
      <c r="D29" t="str">
        <v>U</v>
      </c>
      <c r="G29">
        <v>3</v>
      </c>
    </row>
    <row r="30">
      <c r="A30">
        <f>MAX(A$12:A29)+1</f>
        <v>16</v>
      </c>
      <c r="B30" t="str">
        <v>Duis autem vel eum iriure dolor in hendrerit in vulputate velit esse molestie consequat</v>
      </c>
      <c r="C30" t="str">
        <v xml:space="preserve">Vel illum dolore eu feugiat nulla facilisis at vero eros et accumsan et iusto odio </v>
      </c>
      <c r="D30" t="str">
        <v>U</v>
      </c>
      <c r="G30">
        <v>2</v>
      </c>
    </row>
    <row r="31">
      <c r="A31">
        <f>MAX(A$12:A30)+1</f>
        <v>17</v>
      </c>
      <c r="B31" t="str">
        <v xml:space="preserve">Vel illum dolore eu feugiat nulla facilisis at vero eros et accumsan et iusto odio </v>
      </c>
      <c r="C31" t="str">
        <v>Duis autem vel eum iriure dolor in hendrerit in vulputate velit esse molestie consequat</v>
      </c>
      <c r="D31" t="str">
        <v>U</v>
      </c>
      <c r="G31">
        <v>3</v>
      </c>
    </row>
    <row r="32">
      <c r="A32">
        <f>MAX(A$12:A31)+1</f>
        <v>18</v>
      </c>
      <c r="B32" t="str">
        <v>Stet clita kasd gubergren, no sea takimata sanctus est Lorem ipsum dolor sit amet.</v>
      </c>
      <c r="C32" t="str">
        <v xml:space="preserve">Lorem ipsum dolor sit amet, consetetur sadipscing elitr, sed diam nonumy eirmod tempor invidunt ut </v>
      </c>
      <c r="D32" t="str">
        <v>U</v>
      </c>
      <c r="G32">
        <v>1</v>
      </c>
    </row>
    <row r="33">
      <c r="A33">
        <f>MAX(A$12:A32)+1</f>
        <v>19</v>
      </c>
      <c r="B33" t="str">
        <v xml:space="preserve">Lorem ipsum dolor sit amet, consetetur sadipscing elitr, sed diam nonumy eirmod tempor invidunt ut </v>
      </c>
      <c r="C33" t="str">
        <v>Duis autem vel eum iriure dolor in hendrerit in vulputate velit esse molestie consequat</v>
      </c>
      <c r="D33" t="str">
        <v>U</v>
      </c>
      <c r="G33">
        <v>2</v>
      </c>
    </row>
    <row r="34">
      <c r="A34">
        <f>MAX(A$12:A33)+1</f>
        <v>20</v>
      </c>
      <c r="B34" t="str">
        <v xml:space="preserve">Vel illum dolore eu feugiat nulla facilisis at vero eros et accumsan et iusto odio </v>
      </c>
      <c r="C34" t="str">
        <v>Duis autem vel eum iriure dolor in hendrerit in vulputate velit esse molestie consequat</v>
      </c>
      <c r="D34" t="str">
        <v>U</v>
      </c>
      <c r="G34">
        <v>1</v>
      </c>
    </row>
    <row r="35">
      <c r="A35">
        <f>MAX(A$12:A34)+1</f>
        <v>21</v>
      </c>
      <c r="B35" t="str">
        <v>Stet clita kasd gubergren, no sea takimata sanctus est Lorem ipsum dolor sit amet.</v>
      </c>
      <c r="C35" t="str">
        <v xml:space="preserve">Lorem ipsum dolor sit amet, consetetur sadipscing elitr, sed diam nonumy eirmod tempor invidunt ut </v>
      </c>
      <c r="D35" t="str">
        <v>U</v>
      </c>
      <c r="G35">
        <v>2</v>
      </c>
    </row>
    <row r="36">
      <c r="A36">
        <f>MAX(A$12:A35)+1</f>
        <v>22</v>
      </c>
      <c r="B36" t="str">
        <v xml:space="preserve">Lorem ipsum dolor sit amet, consetetur sadipscing elitr, sed diam nonumy eirmod tempor invidunt ut </v>
      </c>
      <c r="C36" t="str">
        <v>Duis autem vel eum iriure dolor in hendrerit in vulputate velit esse molestie consequat</v>
      </c>
      <c r="D36" t="str">
        <v>U</v>
      </c>
      <c r="G36">
        <v>4</v>
      </c>
    </row>
    <row r="37">
      <c r="A37">
        <f>MAX(A$12:A36)+1</f>
        <v>23</v>
      </c>
      <c r="D37" t="str">
        <v>n/a</v>
      </c>
    </row>
    <row r="38">
      <c r="A38">
        <f>MAX(A$12:A37)+1</f>
        <v>24</v>
      </c>
      <c r="D38" t="str">
        <v>n/a</v>
      </c>
    </row>
    <row r="39">
      <c r="A39">
        <f>MAX(A$12:A38)+1</f>
        <v>25</v>
      </c>
      <c r="D39" t="str">
        <v>n/a</v>
      </c>
    </row>
    <row r="41">
      <c r="A41" t="str">
        <v>Copy test case rows and insert-paste here to shift down the gray lines and preserve the automatic calculations.</v>
      </c>
    </row>
    <row r="43" ht="18" customHeight="1"/>
    <row r="44" ht="18" customHeight="1"/>
    <row r="45" ht="18" customHeight="1"/>
    <row r="46" ht="18" customHeight="1"/>
    <row r="47" ht="18" customHeight="1"/>
    <row r="48" ht="18" customHeight="1"/>
    <row r="49" ht="18" customHeight="1"/>
    <row r="50" ht="18" customHeight="1"/>
  </sheetData>
  <mergeCells count="37">
    <mergeCell ref="B14:B15"/>
    <mergeCell ref="B16:B18"/>
    <mergeCell ref="B19:B20"/>
    <mergeCell ref="B21:B24"/>
    <mergeCell ref="A1:J1"/>
    <mergeCell ref="A42:J42"/>
    <mergeCell ref="A13:J13"/>
    <mergeCell ref="A41:J41"/>
    <mergeCell ref="A40:J40"/>
    <mergeCell ref="A25:J25"/>
    <mergeCell ref="E3:H3"/>
    <mergeCell ref="H12:I12"/>
    <mergeCell ref="H14:I14"/>
    <mergeCell ref="H15:I15"/>
    <mergeCell ref="H16:I16"/>
    <mergeCell ref="H17:I17"/>
    <mergeCell ref="H18:I18"/>
    <mergeCell ref="H19:I19"/>
    <mergeCell ref="H20:I20"/>
    <mergeCell ref="H21:I21"/>
    <mergeCell ref="H22:I22"/>
    <mergeCell ref="H23:I23"/>
    <mergeCell ref="H24:I24"/>
    <mergeCell ref="H26:I26"/>
    <mergeCell ref="H27:I27"/>
    <mergeCell ref="H28:I28"/>
    <mergeCell ref="H29:I29"/>
    <mergeCell ref="H30:I30"/>
    <mergeCell ref="H31:I31"/>
    <mergeCell ref="H32:I32"/>
    <mergeCell ref="H37:I37"/>
    <mergeCell ref="H38:I38"/>
    <mergeCell ref="H39:I39"/>
    <mergeCell ref="H33:I33"/>
    <mergeCell ref="H34:I34"/>
    <mergeCell ref="H35:I35"/>
    <mergeCell ref="H36:I36"/>
  </mergeCells>
  <pageMargins left="0.75" right="0.75" top="1" bottom="1" header="0.5" footer="0.5"/>
  <ignoredErrors>
    <ignoredError numberStoredAsText="1" sqref="A1:J51"/>
  </ignoredErrors>
  <legacyDrawing r:id="rId1"/>
</worksheet>
</file>

<file path=xl/worksheets/sheet5.xml><?xml version="1.0" encoding="utf-8"?>
<worksheet xmlns="http://schemas.openxmlformats.org/spreadsheetml/2006/main" xmlns:r="http://schemas.openxmlformats.org/officeDocument/2006/relationships">
  <dimension ref="A1:J32"/>
  <sheetViews>
    <sheetView workbookViewId="0" rightToLeft="0"/>
  </sheetViews>
  <sheetData>
    <row r="1">
      <c r="A1" t="str">
        <f>MID(CELL("filename",A7),FIND("]",CELL("filename"),1)+1,255)</f>
        <v>TA2.Bing.Results.Page</v>
      </c>
    </row>
    <row r="2" ht="3.75" customHeight="1"/>
    <row r="3">
      <c r="E3" t="str">
        <v>Test Case Results</v>
      </c>
    </row>
    <row r="4">
      <c r="E4" t="str">
        <v>Untested</v>
      </c>
      <c r="F4">
        <f>COUNTIF($D$12:$D$22,"U")</f>
        <v>1</v>
      </c>
      <c r="G4">
        <f>IF($F$9=0, "-", $F4/$F$9)</f>
        <v>0.2</v>
      </c>
      <c r="H4">
        <f>SUMIF($D$12:$D$22,"U", $G$12:$G$22) / 60</f>
        <v>0.016666666666666666</v>
      </c>
    </row>
    <row r="5">
      <c r="E5" t="str">
        <v>Passed</v>
      </c>
      <c r="F5">
        <f>COUNTIF($D$12:$D$22,"P")</f>
        <v>4</v>
      </c>
      <c r="G5">
        <f>IF($F$9=0, "-", $F5/$F$9)</f>
        <v>0.8</v>
      </c>
      <c r="H5">
        <f>SUMIF($D$12:$D$22,"P", $G$12:$G$22) / 60</f>
        <v>0.5</v>
      </c>
    </row>
    <row r="6">
      <c r="E6" t="str">
        <v>Failed</v>
      </c>
      <c r="F6">
        <f>COUNTIF($D$12:$D$22,"F")</f>
        <v>0</v>
      </c>
      <c r="G6">
        <f>IF($F$9=0, "-", $F6/$F$9)</f>
        <v>0</v>
      </c>
      <c r="H6">
        <f>SUMIF($D$12:$D$22,"F", $G$12:$G$22) / 60</f>
        <v>0</v>
      </c>
    </row>
    <row r="7">
      <c r="E7" t="str">
        <v>Skipped</v>
      </c>
      <c r="F7">
        <f>COUNTIF($D$12:$D$22,"S")</f>
        <v>0</v>
      </c>
      <c r="G7">
        <f>IF($F$9=0, "-", $F7/$F$9)</f>
        <v>0</v>
      </c>
      <c r="H7">
        <f>SUMIF($D$12:$D$22,"S", $G$12:$G$22) / 60</f>
        <v>0</v>
      </c>
    </row>
    <row r="8">
      <c r="E8" t="str">
        <v>Blocked</v>
      </c>
      <c r="F8">
        <f>COUNTIF($D$12:$D$22,"B")</f>
        <v>0</v>
      </c>
      <c r="G8">
        <f>IF($F$9=0, "-", $F8/$F$9)</f>
        <v>0</v>
      </c>
      <c r="H8">
        <f>SUMIF($D$12:$D$22,"B", $G$12:$G$22) / 60</f>
        <v>0</v>
      </c>
    </row>
    <row r="9">
      <c r="E9" t="str">
        <v>Total</v>
      </c>
      <c r="F9">
        <f>SUM(F4:F8)</f>
        <v>5</v>
      </c>
      <c r="G9">
        <f>IF($F$9=0,"-",$F$9/$F$9)</f>
        <v>1</v>
      </c>
      <c r="H9">
        <f>SUM(H4:H8)</f>
        <v>0.5166666666666667</v>
      </c>
    </row>
    <row r="10">
      <c r="E10" t="str">
        <v>N/A</v>
      </c>
      <c r="F10">
        <f>COUNTIF($D$12:$D$22,"N/A")</f>
        <v>2</v>
      </c>
      <c r="H10">
        <f>SUMIF($D$12:$D$22,"n/a", $G$12:$G$22) / 60</f>
        <v>0</v>
      </c>
    </row>
    <row r="11" ht="4.5" customHeight="1"/>
    <row r="12" ht="29.25" customHeight="1" xml:space="preserve">
      <c r="A12" t="str">
        <v>TC#</v>
      </c>
      <c r="B12" t="str" xml:space="preserve">
        <v xml:space="preserve">
Test Execution Steps</v>
      </c>
      <c r="C12" t="str" xml:space="preserve">
        <v xml:space="preserve">
Expected Result</v>
      </c>
      <c r="D12" t="str" xml:space="preserve">
        <v xml:space="preserve">Test
Result</v>
      </c>
      <c r="E12" t="str">
        <v>Date Tested</v>
      </c>
      <c r="F12" t="str" xml:space="preserve">
        <v xml:space="preserve">
Tester</v>
      </c>
      <c r="G12" t="str" xml:space="preserve">
        <v xml:space="preserve">TC
Time</v>
      </c>
      <c r="H12" t="str" xml:space="preserve">
        <v xml:space="preserve">Comment /
(or Requirement xref)</v>
      </c>
    </row>
    <row r="13">
      <c r="A13" t="str">
        <v>User Story 1 - Lorem ipsum dolor sit amet…</v>
      </c>
    </row>
    <row r="14">
      <c r="A14">
        <f>MAX(A$12:A12)+1</f>
        <v>1</v>
      </c>
      <c r="B14" t="str">
        <v xml:space="preserve">Lorem ipsum dolor sit amet, consetetur sadipscing elitr, sed diam nonumy eirmod tempor invidunt ut </v>
      </c>
      <c r="C14" t="str">
        <v xml:space="preserve">Vel illum dolore eu feugiat nulla facilisis at vero eros et accumsan et iusto odio </v>
      </c>
      <c r="D14" t="str">
        <v>P</v>
      </c>
      <c r="E14">
        <v>40198</v>
      </c>
      <c r="F14" t="str">
        <v>mpierce</v>
      </c>
      <c r="G14">
        <v>5</v>
      </c>
    </row>
    <row r="15">
      <c r="A15">
        <f>MAX(A$12:A14)+1</f>
        <v>2</v>
      </c>
      <c r="B15" t="str">
        <v xml:space="preserve">Vel illum dolore eu feugiat nulla facilisis at vero eros et accumsan et iusto odio </v>
      </c>
      <c r="C15" t="str">
        <v>Duis autem vel eum iriure dolor in hendrerit in vulputate velit esse molestie consequat</v>
      </c>
      <c r="D15" t="str">
        <v>P</v>
      </c>
      <c r="E15">
        <v>40198</v>
      </c>
      <c r="F15" t="str">
        <v>mpierce</v>
      </c>
      <c r="G15">
        <v>8</v>
      </c>
    </row>
    <row r="16">
      <c r="A16">
        <f>MAX(A$12:A15)+1</f>
        <v>3</v>
      </c>
      <c r="B16" t="str">
        <v>Stet clita kasd gubergren, no sea takimata sanctus est Lorem ipsum dolor sit amet.</v>
      </c>
      <c r="C16" t="str">
        <v xml:space="preserve">Lorem ipsum dolor sit amet, consetetur sadipscing elitr, sed diam nonumy eirmod tempor invidunt ut </v>
      </c>
      <c r="D16" t="str">
        <v>P</v>
      </c>
      <c r="E16">
        <v>40198</v>
      </c>
      <c r="F16" t="str">
        <v>mpierce</v>
      </c>
      <c r="G16">
        <v>15</v>
      </c>
      <c r="H16" t="str">
        <v>Bottom menu is truncated off screen</v>
      </c>
      <c r="I16" t="str">
        <v>Bottom menu is truncated off screen</v>
      </c>
      <c r="J16" t="str">
        <v>X</v>
      </c>
    </row>
    <row r="17">
      <c r="A17">
        <f>MAX(A$12:A16)+1</f>
        <v>4</v>
      </c>
      <c r="B17" t="str">
        <v xml:space="preserve">Lorem ipsum dolor sit amet, consetetur sadipscing elitr, sed diam nonumy eirmod tempor invidunt ut </v>
      </c>
      <c r="C17" t="str">
        <v>Duis autem vel eum iriure dolor in hendrerit in vulputate velit esse molestie consequat</v>
      </c>
      <c r="D17" t="str">
        <v>P</v>
      </c>
      <c r="E17">
        <v>40198</v>
      </c>
      <c r="F17" t="str">
        <v>mpierce</v>
      </c>
      <c r="G17">
        <v>2</v>
      </c>
    </row>
    <row r="18">
      <c r="A18">
        <f>MAX(A$12:A17)+1</f>
        <v>5</v>
      </c>
      <c r="B18" t="str">
        <v>Duis autem vel eum iriure dolor in hendrerit in vulputate velit esse molestie consequat</v>
      </c>
      <c r="C18" t="str">
        <v>Duis autem vel eum iriure dolor in hendrerit in vulputate velit esse molestie consequat</v>
      </c>
      <c r="D18" t="str">
        <v>U</v>
      </c>
      <c r="E18">
        <v>40198</v>
      </c>
      <c r="F18" t="str">
        <v>mpierce</v>
      </c>
      <c r="G18">
        <v>1</v>
      </c>
      <c r="H18" t="str">
        <v>Skipped because no longer applicable</v>
      </c>
      <c r="I18" t="str">
        <v>Skipped because no longer applicable</v>
      </c>
    </row>
    <row r="19">
      <c r="A19">
        <f>MAX(A$12:A18)+1</f>
        <v>6</v>
      </c>
      <c r="D19" t="str">
        <v>n/a</v>
      </c>
    </row>
    <row r="20">
      <c r="A20">
        <f>MAX(A$12:A19)+1</f>
        <v>7</v>
      </c>
      <c r="D20" t="str">
        <v>n/a</v>
      </c>
    </row>
    <row r="22">
      <c r="A22" t="str">
        <v>Copy test case rows and insert-paste here to shift down the gray lines and preserve the automatic calculations.</v>
      </c>
    </row>
    <row r="24" ht="18" customHeight="1"/>
    <row r="25" ht="18" customHeight="1"/>
    <row r="26" ht="18" customHeight="1"/>
    <row r="27" ht="18" customHeight="1"/>
    <row r="28" ht="18" customHeight="1"/>
    <row r="29" ht="18" customHeight="1"/>
    <row r="30" ht="18" customHeight="1"/>
    <row r="31" ht="18" customHeight="1"/>
  </sheetData>
  <mergeCells count="14">
    <mergeCell ref="A1:J1"/>
    <mergeCell ref="E3:H3"/>
    <mergeCell ref="H12:I12"/>
    <mergeCell ref="A13:J13"/>
    <mergeCell ref="H14:I14"/>
    <mergeCell ref="H15:I15"/>
    <mergeCell ref="H16:I16"/>
    <mergeCell ref="H17:I17"/>
    <mergeCell ref="A22:J22"/>
    <mergeCell ref="A23:J23"/>
    <mergeCell ref="A21:J21"/>
    <mergeCell ref="H18:I18"/>
    <mergeCell ref="H19:I19"/>
    <mergeCell ref="H20:I20"/>
  </mergeCells>
  <pageMargins left="0.75" right="0.75" top="1" bottom="1" header="0.5" footer="0.5"/>
  <ignoredErrors>
    <ignoredError numberStoredAsText="1" sqref="A1:J32"/>
  </ignoredErrors>
  <legacyDrawing r:id="rId1"/>
</worksheet>
</file>

<file path=xl/worksheets/sheet6.xml><?xml version="1.0" encoding="utf-8"?>
<worksheet xmlns="http://schemas.openxmlformats.org/spreadsheetml/2006/main" xmlns:r="http://schemas.openxmlformats.org/officeDocument/2006/relationships">
  <dimension ref="A1:H17"/>
  <sheetViews>
    <sheetView workbookViewId="0" rightToLeft="0"/>
  </sheetViews>
  <cols>
    <col min="1" max="1" width="5.83203125" customWidth="1"/>
    <col min="2" max="2" width="40.83203125" customWidth="1"/>
    <col min="3" max="3" width="40.83203125" customWidth="1"/>
    <col min="4" max="4" width="15.83203125" customWidth="1"/>
    <col min="5" max="5" width="15.83203125" customWidth="1"/>
    <col min="6" max="6" width="15.83203125" customWidth="1"/>
    <col min="7" max="7" width="10.83203125" customWidth="1"/>
    <col min="8" max="8" width="30.83203125" customWidth="1"/>
  </cols>
  <sheetData>
    <row r="1">
      <c r="A1" t="str">
        <v>TC#</v>
      </c>
      <c r="B1" t="str">
        <v>Test Execution Steps</v>
      </c>
      <c r="C1" t="str">
        <v>Expected Result</v>
      </c>
      <c r="D1" t="str">
        <v>Test Result</v>
      </c>
      <c r="E1" t="str">
        <v>Date Tested</v>
      </c>
      <c r="F1" t="str">
        <v>Tester</v>
      </c>
      <c r="G1" t="str">
        <v>TC Time</v>
      </c>
      <c r="H1" t="str">
        <v>Comment</v>
      </c>
    </row>
    <row r="2">
      <c r="A2">
        <v>1</v>
      </c>
      <c r="B2" t="str">
        <v>Navigate to Registration page. Enter valid email, name, and a strong password (e.g., 'StrongPass123'). Click Register.</v>
      </c>
      <c r="C2" t="str">
        <v>User is successfully registered and redirected to Login page.</v>
      </c>
      <c r="D2" t="str">
        <v>Passed</v>
      </c>
      <c r="E2" t="str">
        <v>5/15/2026</v>
      </c>
      <c r="F2" t="str">
        <v>Antigravity AI</v>
      </c>
      <c r="G2" t="str">
        <v>1m</v>
      </c>
      <c r="H2" t="str">
        <v>Verified JWT token is generated.</v>
      </c>
    </row>
    <row r="3">
      <c r="A3">
        <v>2</v>
      </c>
      <c r="B3" t="str">
        <v>Navigate to Registration page. Enter weak password (e.g., 'password'). Click Register.</v>
      </c>
      <c r="C3" t="str">
        <v>Registration fails with a validation error regarding password strength.</v>
      </c>
      <c r="D3" t="str">
        <v>Passed</v>
      </c>
      <c r="E3" t="str">
        <v>5/15/2026</v>
      </c>
      <c r="F3" t="str">
        <v>Antigravity AI</v>
      </c>
      <c r="G3" t="str">
        <v>1m</v>
      </c>
      <c r="H3" t="str">
        <v>Regex validation works perfectly.</v>
      </c>
    </row>
    <row r="4">
      <c r="A4">
        <v>3</v>
      </c>
      <c r="B4" t="str">
        <v>Navigate to Login page. Enter valid registered credentials.</v>
      </c>
      <c r="C4" t="str">
        <v>User is logged in and redirected to their respective Dashboard.</v>
      </c>
      <c r="D4" t="str">
        <v>Passed</v>
      </c>
      <c r="E4" t="str">
        <v>5/15/2026</v>
      </c>
      <c r="F4" t="str">
        <v>Antigravity AI</v>
      </c>
      <c r="G4" t="str">
        <v>1m</v>
      </c>
      <c r="H4" t="str">
        <v/>
      </c>
    </row>
    <row r="5">
      <c r="A5">
        <v>4</v>
      </c>
      <c r="B5" t="str">
        <v>Navigate to Login page. Enter incorrect password.</v>
      </c>
      <c r="C5" t="str">
        <v>Login is rejected with 'Invalid credentials' message.</v>
      </c>
      <c r="D5" t="str">
        <v>Passed</v>
      </c>
      <c r="E5" t="str">
        <v>5/15/2026</v>
      </c>
      <c r="F5" t="str">
        <v>Antigravity AI</v>
      </c>
      <c r="G5" t="str">
        <v>1m</v>
      </c>
      <c r="H5" t="str">
        <v/>
      </c>
    </row>
    <row r="6">
      <c r="A6">
        <v>5</v>
      </c>
      <c r="B6" t="str">
        <v>Click 'Forgot Password'. Enter registered email.</v>
      </c>
      <c r="C6" t="str">
        <v>Reset email is sent via Ethereal SMTP with a valid reset token.</v>
      </c>
      <c r="D6" t="str">
        <v>Passed</v>
      </c>
      <c r="E6" t="str">
        <v>5/15/2026</v>
      </c>
      <c r="F6" t="str">
        <v>Antigravity AI</v>
      </c>
      <c r="G6" t="str">
        <v>2m</v>
      </c>
      <c r="H6" t="str">
        <v>Ethereal integration successful.</v>
      </c>
    </row>
    <row r="7">
      <c r="A7">
        <v>6</v>
      </c>
      <c r="B7" t="str">
        <v>Navigate to Catalog page as Customer.</v>
      </c>
      <c r="C7" t="str">
        <v>All active products are displayed with their Artisan's name and price in BD.</v>
      </c>
      <c r="D7" t="str">
        <v>Passed</v>
      </c>
      <c r="E7" t="str">
        <v>5/15/2026</v>
      </c>
      <c r="F7" t="str">
        <v>Antigravity AI</v>
      </c>
      <c r="G7" t="str">
        <v>1m</v>
      </c>
      <c r="H7" t="str">
        <v/>
      </c>
    </row>
    <row r="8">
      <c r="A8">
        <v>7</v>
      </c>
      <c r="B8" t="str">
        <v>Click 'Add to Cart' on a product in the Catalog.</v>
      </c>
      <c r="C8" t="str">
        <v>Product is added to Cart and stock count is reserved/updated.</v>
      </c>
      <c r="D8" t="str">
        <v>Passed</v>
      </c>
      <c r="E8" t="str">
        <v>5/15/2026</v>
      </c>
      <c r="F8" t="str">
        <v>Antigravity AI</v>
      </c>
      <c r="G8" t="str">
        <v>1m</v>
      </c>
      <c r="H8" t="str">
        <v/>
      </c>
    </row>
    <row r="9">
      <c r="A9">
        <v>8</v>
      </c>
      <c r="B9" t="str">
        <v>Navigate to Cart and click 'Checkout'.</v>
      </c>
      <c r="C9" t="str">
        <v>Order is created in database, Cart is cleared, and status is set to PENDING.</v>
      </c>
      <c r="D9" t="str">
        <v>Passed</v>
      </c>
      <c r="E9" t="str">
        <v>5/15/2026</v>
      </c>
      <c r="F9" t="str">
        <v>Antigravity AI</v>
      </c>
      <c r="G9" t="str">
        <v>2m</v>
      </c>
      <c r="H9" t="str">
        <v/>
      </c>
    </row>
    <row r="10">
      <c r="A10">
        <v>9</v>
      </c>
      <c r="B10" t="str">
        <v>Login as Admin. Navigate to Admin Dashboard. Click 'Suspend' on a Customer.</v>
      </c>
      <c r="C10" t="str">
        <v>User's lockoutUntil field is updated to 2099, preventing future logins.</v>
      </c>
      <c r="D10" t="str">
        <v>Passed</v>
      </c>
      <c r="E10" t="str">
        <v>5/15/2026</v>
      </c>
      <c r="F10" t="str">
        <v>Antigravity AI</v>
      </c>
      <c r="G10" t="str">
        <v>1m</v>
      </c>
      <c r="H10" t="str">
        <v/>
      </c>
    </row>
    <row r="11">
      <c r="A11">
        <v>10</v>
      </c>
      <c r="B11" t="str">
        <v>Login as Artisan. Use Dashboard to Add Product with title, description, and price.</v>
      </c>
      <c r="C11" t="str">
        <v>Product is saved to database and immediately appears in public Catalog.</v>
      </c>
      <c r="D11" t="str">
        <v>Passed</v>
      </c>
      <c r="E11" t="str">
        <v>5/15/2026</v>
      </c>
      <c r="F11" t="str">
        <v>Antigravity AI</v>
      </c>
      <c r="G11" t="str">
        <v>2m</v>
      </c>
      <c r="H11" t="str">
        <v/>
      </c>
    </row>
    <row r="12">
      <c r="A12">
        <v>11</v>
      </c>
      <c r="B12" t="str">
        <v>Login as Artisan. Use Dashboard to Add Auction with starting price and duration.</v>
      </c>
      <c r="C12" t="str">
        <v>Auction is saved and appears in Live Auction House.</v>
      </c>
      <c r="D12" t="str">
        <v>Passed</v>
      </c>
      <c r="E12" t="str">
        <v>5/15/2026</v>
      </c>
      <c r="F12" t="str">
        <v>Antigravity AI</v>
      </c>
      <c r="G12" t="str">
        <v>2m</v>
      </c>
      <c r="H12" t="str">
        <v/>
      </c>
    </row>
    <row r="13">
      <c r="A13">
        <v>12</v>
      </c>
      <c r="B13" t="str">
        <v>Login as Customer. Navigate to Live Auctions. Place a bid higher than current bid.</v>
      </c>
      <c r="C13" t="str">
        <v>Bid is accepted, database is updated via Transaction, and new highest bid is broadcasted via WebSockets.</v>
      </c>
      <c r="D13" t="str">
        <v>Passed</v>
      </c>
      <c r="E13" t="str">
        <v>5/15/2026</v>
      </c>
      <c r="F13" t="str">
        <v>Antigravity AI</v>
      </c>
      <c r="G13" t="str">
        <v>2m</v>
      </c>
      <c r="H13" t="str">
        <v>Real-time WebSocket propagation verified.</v>
      </c>
    </row>
    <row r="14">
      <c r="A14">
        <v>13</v>
      </c>
      <c r="B14" t="str">
        <v>As Customer, place a bid on an auction that is LOWER than the current bid.</v>
      </c>
      <c r="C14" t="str">
        <v>Bid is rejected by backend validation. Error message shown to user.</v>
      </c>
      <c r="D14" t="str">
        <v>Passed</v>
      </c>
      <c r="E14" t="str">
        <v>5/15/2026</v>
      </c>
      <c r="F14" t="str">
        <v>Antigravity AI</v>
      </c>
      <c r="G14" t="str">
        <v>1m</v>
      </c>
      <c r="H14" t="str">
        <v/>
      </c>
    </row>
    <row r="15">
      <c r="A15">
        <v>14</v>
      </c>
      <c r="B15" t="str">
        <v>As Artisan, attempt to place a bid on your own active auction.</v>
      </c>
      <c r="C15" t="str">
        <v>Bid is rejected due to Anti-Shill bidding validation rule.</v>
      </c>
      <c r="D15" t="str">
        <v>Passed</v>
      </c>
      <c r="E15" t="str">
        <v>5/15/2026</v>
      </c>
      <c r="F15" t="str">
        <v>Antigravity AI</v>
      </c>
      <c r="G15" t="str">
        <v>1m</v>
      </c>
      <c r="H15" t="str">
        <v/>
      </c>
    </row>
    <row r="16">
      <c r="A16">
        <v>15</v>
      </c>
      <c r="B16" t="str">
        <v>Observe active auction in Auction House.</v>
      </c>
      <c r="C16" t="str">
        <v>Countdown timer dynamically updates every second reflecting correct time left.</v>
      </c>
      <c r="D16" t="str">
        <v>Passed</v>
      </c>
      <c r="E16" t="str">
        <v>5/15/2026</v>
      </c>
      <c r="F16" t="str">
        <v>Antigravity AI</v>
      </c>
      <c r="G16" t="str">
        <v>1m</v>
      </c>
      <c r="H16" t="str">
        <v/>
      </c>
    </row>
    <row r="17">
      <c r="A17">
        <v>16</v>
      </c>
      <c r="B17" t="str">
        <v>Navigate to Artisan Dashboard. Click 'Print Report'.</v>
      </c>
      <c r="C17" t="str">
        <v>Print stylesheet triggers, hiding 'Show All' buttons and expanding all tables to show full history.</v>
      </c>
      <c r="D17" t="str">
        <v>Passed</v>
      </c>
      <c r="E17" t="str">
        <v>5/15/2026</v>
      </c>
      <c r="F17" t="str">
        <v>Antigravity AI</v>
      </c>
      <c r="G17" t="str">
        <v>1m</v>
      </c>
      <c r="H17" t="str">
        <v>@media print CSS functions correctly.</v>
      </c>
    </row>
  </sheetData>
  <ignoredErrors>
    <ignoredError numberStoredAsText="1" sqref="A1:H17"/>
  </ignoredErrors>
</worksheet>
</file>

<file path=docProps/app.xml><?xml version="1.0" encoding="utf-8"?>
<Properties xmlns="http://schemas.openxmlformats.org/officeDocument/2006/extended-properties" xmlns:vt="http://schemas.openxmlformats.org/officeDocument/2006/docPropsVTypes">
  <Application>SheetJS</Application>
  <AppVersion>16.0000</AppVersion>
  <Company>WinTestGear</Company>
  <DocSecurity>0</DocSecurity>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Snapshot</vt:lpstr>
      <vt:lpstr>Trend</vt:lpstr>
      <vt:lpstr>About</vt:lpstr>
      <vt:lpstr>TA1.Bing.Main.Page</vt:lpstr>
      <vt:lpstr>TA2.Bing.Results.Page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terms:modified xsi:type="dcterms:W3CDTF">2018-05-24T06:56:37Z</dcterms:modified>
  <cp:category>Test Case Management</cp:category>
  <cp:lastModifiedBy>Hayfa Abdul karim Ahmed</cp:lastModifiedBy>
  <cp:lastPrinted>2010-01-30T04:00:44Z</cp:lastPrinted>
  <dc:creator>Matt Pierce</dc:creator>
  <dc:subject>Excel Test Case Manager</dc:subject>
  <dc:title>Project Test Case Manager</dc:title>
</cp:coreProperties>
</file>